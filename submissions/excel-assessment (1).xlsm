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176428E6-CC11-C334-683E-B6102A28F97D}"/>
  <workbookPr codeName="ThisWorkbook1" hidePivotFieldList="1"/>
  <bookViews>
    <workbookView xWindow="0" yWindow="500" windowWidth="19420" windowHeight="11020" tabRatio="849" activeTab="4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8" l="1"/>
  <c r="C22" i="19"/>
  <c r="C30" i="18"/>
  <c r="D30" i="18"/>
  <c r="E30" i="18"/>
  <c r="F30" i="18"/>
  <c r="C29" i="18"/>
  <c r="D29" i="18"/>
  <c r="E29" i="18"/>
  <c r="F29" i="18"/>
  <c r="C28" i="18"/>
  <c r="D28" i="18"/>
  <c r="E28" i="18"/>
  <c r="F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C5" i="15"/>
</calcChain>
</file>

<file path=xl/sharedStrings.xml><?xml version="1.0" encoding="utf-8"?>
<sst xmlns="http://schemas.openxmlformats.org/spreadsheetml/2006/main" count="404" uniqueCount="181">
  <si>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</si>
  <si>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</si>
  <si>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</si>
  <si>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</si>
  <si>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</si>
  <si>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</si>
  <si>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</si>
  <si>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</si>
  <si>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</si>
  <si>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</si>
  <si>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</si>
  <si>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</si>
  <si>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</si>
  <si>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</si>
  <si>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</si>
  <si>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</si>
  <si>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</si>
  <si>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</si>
  <si>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</si>
  <si>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</si>
  <si>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</si>
  <si>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</si>
  <si>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</si>
  <si>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</si>
  <si>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</si>
  <si>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</si>
  <si>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</si>
  <si>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</si>
  <si>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</si>
  <si>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</si>
  <si>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</si>
  <si>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</si>
  <si>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</si>
  <si>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</si>
  <si>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</si>
  <si>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</si>
  <si>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</si>
  <si>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</si>
  <si>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</si>
  <si>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</si>
  <si>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</si>
  <si>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</si>
  <si>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</si>
  <si>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</si>
  <si>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</si>
  <si>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</si>
  <si>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</si>
  <si>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</si>
  <si>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</si>
  <si>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</si>
  <si>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</si>
  <si>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</si>
  <si>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</si>
  <si>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</si>
  <si>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</si>
  <si>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</si>
  <si>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</si>
  <si>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</si>
  <si>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</si>
  <si>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</si>
  <si>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</si>
  <si>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</si>
  <si>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</si>
  <si>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</si>
  <si>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</si>
  <si>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</si>
  <si>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</si>
  <si>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</si>
  <si>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</si>
  <si>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</si>
  <si>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</si>
  <si>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</si>
  <si>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</si>
  <si>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</si>
  <si>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</si>
  <si>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</si>
  <si>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</si>
  <si>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</si>
  <si>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</si>
  <si>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</si>
  <si>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</si>
  <si>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</si>
  <si>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</si>
  <si>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</si>
  <si>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</si>
  <si>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</si>
  <si>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</si>
  <si>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</si>
  <si>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</si>
  <si>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</si>
  <si>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</si>
  <si>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</si>
  <si>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</si>
  <si>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</si>
  <si>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</si>
  <si>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</si>
  <si>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</si>
  <si>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</si>
  <si>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</si>
  <si>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</si>
  <si>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</si>
  <si>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</si>
  <si>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</si>
  <si>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</si>
  <si>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</si>
  <si>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</si>
  <si>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</si>
  <si>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</si>
  <si>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</si>
  <si>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</si>
  <si>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</si>
  <si>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</si>
  <si>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</si>
  <si>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</si>
  <si>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</si>
  <si>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</si>
  <si>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</si>
  <si>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</si>
  <si>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</si>
  <si>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</si>
  <si>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</si>
  <si>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</si>
  <si>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</si>
  <si>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</si>
  <si>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</si>
  <si>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</si>
  <si>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</si>
  <si>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</si>
  <si>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</si>
  <si>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</si>
  <si>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</si>
  <si>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</si>
  <si>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</si>
  <si>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</si>
  <si>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</si>
  <si>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</si>
  <si>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</si>
  <si>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</si>
  <si>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</si>
  <si>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</si>
  <si>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</si>
  <si>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</si>
  <si>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</si>
  <si>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</si>
  <si>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</si>
  <si>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</si>
  <si>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</si>
  <si>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</si>
  <si>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</si>
  <si>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</si>
  <si>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</si>
  <si>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</si>
  <si>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</si>
  <si>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</si>
  <si>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</si>
  <si>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</si>
  <si>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</si>
  <si>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</si>
  <si>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</si>
  <si>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</si>
  <si>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</si>
  <si>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</si>
  <si>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</si>
  <si>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</si>
  <si>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</si>
  <si>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</si>
  <si>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</si>
  <si>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</si>
  <si>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</si>
  <si>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</si>
  <si>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</si>
  <si>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</si>
  <si>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</si>
  <si>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</si>
  <si>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</si>
  <si>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</si>
  <si>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Click "Replace All."</t>
  </si>
  <si>
    <t>I have used find and replace of excel short-cut is 'ctrl+H'</t>
  </si>
  <si>
    <t xml:space="preserve">I have used inbuild in functionality </t>
  </si>
  <si>
    <t>1st I wentto data menu then select option of Text to Column</t>
  </si>
  <si>
    <t xml:space="preserve">Then selected delimiter as "-" and selected the destination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</si>
</sst>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h:mm:ss;@"/>
    <numFmt numFmtId="165" formatCode="yyyy\-mm\-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7"/>
      <color rgb="FFFFFFFF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5" fontId="7" fillId="0" borderId="0" xfId="0" applyNumberFormat="1" applyFont="1"/>
    <xf numFmtId="165" fontId="3" fillId="0" borderId="0" xfId="0" applyNumberFormat="1" applyFont="1"/>
    <xf numFmtId="0" fontId="18" fillId="0" borderId="0" xfId="0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9"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"/>
      <tableStyleElement type="headerRow" dxfId="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9" t="s">
        <v>107</v>
      </c>
    </row>
    <row r="2" spans="1:3" x14ac:dyDescent="0.3">
      <c r="A2" s="2" t="s">
        <v>108</v>
      </c>
    </row>
    <row r="3" spans="1:3" x14ac:dyDescent="0.3">
      <c r="A3" s="2" t="s">
        <v>109</v>
      </c>
    </row>
    <row r="4" spans="1:3" ht="14.5" x14ac:dyDescent="0.35">
      <c r="A4" s="2" t="s">
        <v>110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6" t="s">
        <v>170</v>
      </c>
      <c r="B9" s="26" t="s">
        <v>168</v>
      </c>
    </row>
    <row r="10" spans="1:3" x14ac:dyDescent="0.3">
      <c r="A10" s="35" t="s">
        <v>171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97</v>
      </c>
      <c r="B14" s="37">
        <v>40</v>
      </c>
    </row>
    <row r="15" spans="1:3" x14ac:dyDescent="0.3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0"/>
  <sheetViews>
    <sheetView topLeftCell="N1" zoomScaleNormal="100" workbookViewId="0">
      <pane ySplit="1" topLeftCell="A2" activePane="bottomLeft" state="frozen"/>
      <selection activeCell="V1" sqref="V1"/>
      <selection pane="bottomLeft" activeCell="G2" sqref="G2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7" bestFit="1" customWidth="1"/>
    <col min="25" max="16384" width="9" style="1"/>
  </cols>
  <sheetData>
    <row r="1" spans="1:24" s="3" customFormat="1" ht="14.75" customHeight="1" x14ac:dyDescent="0.3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104</v>
      </c>
    </row>
    <row r="2" spans="1:24" x14ac:dyDescent="0.3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</sheetData>
  <conditionalFormatting sqref="A1:A1048576">
    <cfRule type="duplicateValues" dxfId="4" priority="4"/>
  </conditionalFormatting>
  <conditionalFormatting sqref="B1:B1048576">
    <cfRule type="duplicateValues" dxfId="3" priority="3"/>
  </conditionalFormatting>
  <conditionalFormatting sqref="A1:X40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B15" sqref="B15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5">
      <c r="A2" s="2"/>
      <c r="B2" s="5" t="s">
        <v>159</v>
      </c>
      <c r="C2" s="2"/>
    </row>
    <row r="3" spans="1:5" x14ac:dyDescent="0.35">
      <c r="A3" s="6">
        <v>1</v>
      </c>
      <c r="B3" s="2" t="s">
        <v>106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103</v>
      </c>
      <c r="C5" s="34">
        <f>SUMIFS(H2:H100, H2:H100, "&gt;20")</f>
        <v>0</v>
      </c>
      <c r="E5" s="1">
        <v>10</v>
      </c>
    </row>
    <row r="6" spans="1:5" x14ac:dyDescent="0.35">
      <c r="A6" s="6">
        <v>4</v>
      </c>
      <c r="B6" s="2" t="s">
        <v>105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zoomScaleNormal="100" workbookViewId="0">
      <selection activeCell="B6" sqref="B6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1" customFormat="1" ht="21" x14ac:dyDescent="0.5">
      <c r="A1" s="42" t="s">
        <v>55</v>
      </c>
      <c r="B1" s="41" t="s">
        <v>163</v>
      </c>
    </row>
    <row r="2" spans="1:7" s="41" customFormat="1" ht="21" x14ac:dyDescent="0.5">
      <c r="B2" s="41" t="s">
        <v>160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8" t="s">
        <v>161</v>
      </c>
      <c r="B4" s="1"/>
      <c r="C4" s="1"/>
      <c r="D4" s="1"/>
      <c r="E4" s="1"/>
      <c r="F4" s="1"/>
      <c r="G4" s="1"/>
    </row>
    <row r="5" spans="1:7" ht="14.5" x14ac:dyDescent="0.3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5" x14ac:dyDescent="0.35">
      <c r="A6" s="7" t="s">
        <v>40</v>
      </c>
      <c r="B6" s="12">
        <f>VLOOKUP(A6:A27, Dataset!A:G, 7,FALSE )</f>
        <v>2.7</v>
      </c>
      <c r="C6" s="12">
        <f>VLOOKUP(A6:A27, Dataset!A:N, 14,FALSE )</f>
        <v>7.6</v>
      </c>
      <c r="D6" s="12">
        <f>VLOOKUP(A6:A27, Dataset!A:R, 18,FALSE )</f>
        <v>4.2</v>
      </c>
      <c r="E6" s="12">
        <f>VLOOKUP(A6:A27, Dataset!A:T, 20,FALSE )</f>
        <v>8.9</v>
      </c>
      <c r="F6" s="8">
        <f>VLOOKUP(A6:A27, Dataset!A:V, 22,FALSE )</f>
        <v>4.2</v>
      </c>
    </row>
    <row r="7" spans="1:7" ht="14.5" x14ac:dyDescent="0.35">
      <c r="A7" s="7" t="s">
        <v>4</v>
      </c>
      <c r="B7" s="12">
        <f>VLOOKUP(A7:A28, Dataset!A:G, 7,FALSE )</f>
        <v>2.7</v>
      </c>
      <c r="C7" s="12">
        <f>VLOOKUP(A7:A28, Dataset!A:N, 14,FALSE )</f>
        <v>7.6</v>
      </c>
      <c r="D7" s="12">
        <f>VLOOKUP(A7:A28, Dataset!A:R, 18,FALSE )</f>
        <v>4.2</v>
      </c>
      <c r="E7" s="12">
        <f>VLOOKUP(A7:A28, Dataset!A:T, 20,FALSE )</f>
        <v>8.9</v>
      </c>
      <c r="F7" s="8">
        <f>VLOOKUP(A7:A28, Dataset!A:V, 22,FALSE )</f>
        <v>4.2</v>
      </c>
    </row>
    <row r="8" spans="1:7" ht="14.5" x14ac:dyDescent="0.35">
      <c r="A8" s="7" t="s">
        <v>7</v>
      </c>
      <c r="B8" s="12">
        <f>VLOOKUP(A8:A29, Dataset!A:G, 7,FALSE )</f>
        <v>3.6</v>
      </c>
      <c r="C8" s="12">
        <f>VLOOKUP(A8:A29, Dataset!A:N, 14,FALSE )</f>
        <v>11.1</v>
      </c>
      <c r="D8" s="12">
        <f>VLOOKUP(A8:A29, Dataset!A:R, 18,FALSE )</f>
        <v>5.8</v>
      </c>
      <c r="E8" s="12">
        <f>VLOOKUP(A8:A29, Dataset!A:T, 20,FALSE )</f>
        <v>12.2</v>
      </c>
      <c r="F8" s="8">
        <f>VLOOKUP(A8:A29, Dataset!A:V, 22,FALSE )</f>
        <v>5.8</v>
      </c>
    </row>
    <row r="9" spans="1:7" ht="14.5" x14ac:dyDescent="0.35">
      <c r="A9" s="7" t="s">
        <v>8</v>
      </c>
      <c r="B9" s="12">
        <f>VLOOKUP(A9:A30, Dataset!A:G, 7,FALSE )</f>
        <v>4.9000000000000004</v>
      </c>
      <c r="C9" s="12">
        <f>VLOOKUP(A9:A30, Dataset!A:N, 14,FALSE )</f>
        <v>13.3</v>
      </c>
      <c r="D9" s="12">
        <f>VLOOKUP(A9:A30, Dataset!A:R, 18,FALSE )</f>
        <v>8.1</v>
      </c>
      <c r="E9" s="12">
        <f>VLOOKUP(A9:A30, Dataset!A:T, 20,FALSE )</f>
        <v>17</v>
      </c>
      <c r="F9" s="8">
        <f>VLOOKUP(A9:A30, Dataset!A:V, 22,FALSE )</f>
        <v>8.1</v>
      </c>
    </row>
    <row r="10" spans="1:7" ht="14.5" x14ac:dyDescent="0.35">
      <c r="A10" s="7" t="s">
        <v>11</v>
      </c>
      <c r="B10" s="12">
        <f>VLOOKUP(A10:A31, Dataset!A:G, 7,FALSE )</f>
        <v>9.4</v>
      </c>
      <c r="C10" s="12">
        <f>VLOOKUP(A10:A31, Dataset!A:N, 14,FALSE )</f>
        <v>28.3</v>
      </c>
      <c r="D10" s="12">
        <f>VLOOKUP(A10:A31, Dataset!A:R, 18,FALSE )</f>
        <v>16.100000000000001</v>
      </c>
      <c r="E10" s="12">
        <f>VLOOKUP(A10:A31, Dataset!A:T, 20,FALSE )</f>
        <v>32.799999999999997</v>
      </c>
      <c r="F10" s="8">
        <f>VLOOKUP(A10:A31, Dataset!A:V, 22,FALSE )</f>
        <v>16.100000000000001</v>
      </c>
    </row>
    <row r="11" spans="1:7" ht="14.5" x14ac:dyDescent="0.35">
      <c r="A11" s="7" t="s">
        <v>12</v>
      </c>
      <c r="B11" s="12">
        <f>VLOOKUP(A11:A32, Dataset!A:G, 7,FALSE )</f>
        <v>11.6</v>
      </c>
      <c r="C11" s="12">
        <f>VLOOKUP(A11:A32, Dataset!A:N, 14,FALSE )</f>
        <v>35.200000000000003</v>
      </c>
      <c r="D11" s="12">
        <f>VLOOKUP(A11:A32, Dataset!A:R, 18,FALSE )</f>
        <v>21.3</v>
      </c>
      <c r="E11" s="12">
        <f>VLOOKUP(A11:A32, Dataset!A:T, 20,FALSE )</f>
        <v>43</v>
      </c>
      <c r="F11" s="8">
        <f>VLOOKUP(A11:A32, Dataset!A:V, 22,FALSE )</f>
        <v>21.3</v>
      </c>
    </row>
    <row r="12" spans="1:7" ht="14.5" x14ac:dyDescent="0.35">
      <c r="A12" s="7" t="s">
        <v>14</v>
      </c>
      <c r="B12" s="12">
        <f>VLOOKUP(A12:A33, Dataset!A:G, 7,FALSE )</f>
        <v>18.399999999999999</v>
      </c>
      <c r="C12" s="12">
        <f>VLOOKUP(A12:A33, Dataset!A:N, 14,FALSE )</f>
        <v>55.6</v>
      </c>
      <c r="D12" s="12">
        <f>VLOOKUP(A12:A33, Dataset!A:R, 18,FALSE )</f>
        <v>33.799999999999997</v>
      </c>
      <c r="E12" s="12">
        <f>VLOOKUP(A12:A33, Dataset!A:T, 20,FALSE )</f>
        <v>67.900000000000006</v>
      </c>
      <c r="F12" s="8">
        <f>VLOOKUP(A12:A33, Dataset!A:V, 22,FALSE )</f>
        <v>33.799999999999997</v>
      </c>
    </row>
    <row r="13" spans="1:7" ht="14.5" x14ac:dyDescent="0.35">
      <c r="A13" s="7" t="s">
        <v>15</v>
      </c>
      <c r="B13" s="12">
        <f>VLOOKUP(A13:A34, Dataset!A:G, 7,FALSE )</f>
        <v>0</v>
      </c>
      <c r="C13" s="12">
        <f>VLOOKUP(A13:A34, Dataset!A:N, 14,FALSE )</f>
        <v>0</v>
      </c>
      <c r="D13" s="12">
        <f>VLOOKUP(A13:A34, Dataset!A:R, 18,FALSE )</f>
        <v>0</v>
      </c>
      <c r="E13" s="12">
        <f>VLOOKUP(A13:A34, Dataset!A:T, 20,FALSE )</f>
        <v>0</v>
      </c>
      <c r="F13" s="8">
        <f>VLOOKUP(A13:A34, Dataset!A:V, 22,FALSE )</f>
        <v>0</v>
      </c>
    </row>
    <row r="14" spans="1:7" ht="14.5" x14ac:dyDescent="0.35">
      <c r="A14" s="7" t="s">
        <v>16</v>
      </c>
      <c r="B14" s="12">
        <f>VLOOKUP(A14:A35, Dataset!A:G, 7,FALSE )</f>
        <v>21.9</v>
      </c>
      <c r="C14" s="12">
        <f>VLOOKUP(A14:A35, Dataset!A:N, 14,FALSE )</f>
        <v>61.5</v>
      </c>
      <c r="D14" s="12">
        <f>VLOOKUP(A14:A35, Dataset!A:R, 18,FALSE )</f>
        <v>40.1</v>
      </c>
      <c r="E14" s="12">
        <f>VLOOKUP(A14:A35, Dataset!A:T, 20,FALSE )</f>
        <v>76.599999999999994</v>
      </c>
      <c r="F14" s="8">
        <f>VLOOKUP(A14:A35, Dataset!A:V, 22,FALSE )</f>
        <v>40.1</v>
      </c>
    </row>
    <row r="15" spans="1:7" ht="14.5" x14ac:dyDescent="0.35">
      <c r="A15" s="7" t="s">
        <v>18</v>
      </c>
      <c r="B15" s="12">
        <f>VLOOKUP(A15:A36, Dataset!A:G, 7,FALSE )</f>
        <v>26.8</v>
      </c>
      <c r="C15" s="12">
        <f>VLOOKUP(A15:A36, Dataset!A:N, 14,FALSE )</f>
        <v>79.599999999999994</v>
      </c>
      <c r="D15" s="12">
        <f>VLOOKUP(A15:A36, Dataset!A:R, 18,FALSE )</f>
        <v>47.9</v>
      </c>
      <c r="E15" s="12">
        <f>VLOOKUP(A15:A36, Dataset!A:T, 20,FALSE )</f>
        <v>96.8</v>
      </c>
      <c r="F15" s="8">
        <f>VLOOKUP(A15:A36, Dataset!A:V, 22,FALSE )</f>
        <v>47.9</v>
      </c>
    </row>
    <row r="16" spans="1:7" ht="14.5" x14ac:dyDescent="0.35">
      <c r="A16" s="7" t="s">
        <v>20</v>
      </c>
      <c r="B16" s="12">
        <f>VLOOKUP(A16:A37, Dataset!A:G, 7,FALSE )</f>
        <v>28.5</v>
      </c>
      <c r="C16" s="12">
        <f>VLOOKUP(A16:A37, Dataset!A:N, 14,FALSE )</f>
        <v>85.4</v>
      </c>
      <c r="D16" s="12">
        <f>VLOOKUP(A16:A37, Dataset!A:R, 18,FALSE )</f>
        <v>52.3</v>
      </c>
      <c r="E16" s="12">
        <f>VLOOKUP(A16:A37, Dataset!A:T, 20,FALSE )</f>
        <v>106.1</v>
      </c>
      <c r="F16" s="8">
        <f>VLOOKUP(A16:A37, Dataset!A:V, 22,FALSE )</f>
        <v>52.3</v>
      </c>
    </row>
    <row r="17" spans="1:6" ht="14.5" x14ac:dyDescent="0.35">
      <c r="A17" s="7" t="s">
        <v>22</v>
      </c>
      <c r="B17" s="12">
        <f>VLOOKUP(A17:A38, Dataset!A:G, 7,FALSE )</f>
        <v>30.7</v>
      </c>
      <c r="C17" s="12">
        <f>VLOOKUP(A17:A38, Dataset!A:N, 14,FALSE )</f>
        <v>92.1</v>
      </c>
      <c r="D17" s="12">
        <f>VLOOKUP(A17:A38, Dataset!A:R, 18,FALSE )</f>
        <v>57</v>
      </c>
      <c r="E17" s="12">
        <f>VLOOKUP(A17:A38, Dataset!A:T, 20,FALSE )</f>
        <v>115.1</v>
      </c>
      <c r="F17" s="8">
        <f>VLOOKUP(A17:A38, Dataset!A:V, 22,FALSE )</f>
        <v>57</v>
      </c>
    </row>
    <row r="18" spans="1:6" ht="14.5" x14ac:dyDescent="0.35">
      <c r="A18" s="7" t="s">
        <v>23</v>
      </c>
      <c r="B18" s="12">
        <f>VLOOKUP(A18:A39, Dataset!A:G, 7,FALSE )</f>
        <v>33.799999999999997</v>
      </c>
      <c r="C18" s="12">
        <f>VLOOKUP(A18:A39, Dataset!A:N, 14,FALSE )</f>
        <v>101.3</v>
      </c>
      <c r="D18" s="12">
        <f>VLOOKUP(A18:A39, Dataset!A:R, 18,FALSE )</f>
        <v>61.4</v>
      </c>
      <c r="E18" s="12">
        <f>VLOOKUP(A18:A39, Dataset!A:T, 20,FALSE )</f>
        <v>124.4</v>
      </c>
      <c r="F18" s="8">
        <f>VLOOKUP(A18:A39, Dataset!A:V, 22,FALSE )</f>
        <v>61.4</v>
      </c>
    </row>
    <row r="19" spans="1:6" ht="14.5" x14ac:dyDescent="0.35">
      <c r="A19" s="7" t="s">
        <v>24</v>
      </c>
      <c r="B19" s="12">
        <f>VLOOKUP(A19:A40, Dataset!A:G, 7,FALSE )</f>
        <v>34.700000000000003</v>
      </c>
      <c r="C19" s="12">
        <f>VLOOKUP(A19:A40, Dataset!A:N, 14,FALSE )</f>
        <v>106.1</v>
      </c>
      <c r="D19" s="12">
        <f>VLOOKUP(A19:A40, Dataset!A:R, 18,FALSE )</f>
        <v>63.6</v>
      </c>
      <c r="E19" s="12">
        <f>VLOOKUP(A19:A40, Dataset!A:T, 20,FALSE )</f>
        <v>128.6</v>
      </c>
      <c r="F19" s="8">
        <f>VLOOKUP(A19:A40, Dataset!A:V, 22,FALSE )</f>
        <v>63.6</v>
      </c>
    </row>
    <row r="20" spans="1:6" ht="14.5" x14ac:dyDescent="0.35">
      <c r="A20" s="7" t="s">
        <v>28</v>
      </c>
      <c r="B20" s="12">
        <f>VLOOKUP(A20:A41, Dataset!A:G, 7,FALSE )</f>
        <v>0</v>
      </c>
      <c r="C20" s="12">
        <f>VLOOKUP(A20:A41, Dataset!A:N, 14,FALSE )</f>
        <v>0</v>
      </c>
      <c r="D20" s="12">
        <f>VLOOKUP(A20:A41, Dataset!A:R, 18,FALSE )</f>
        <v>0</v>
      </c>
      <c r="E20" s="12">
        <f>VLOOKUP(A20:A41, Dataset!A:T, 20,FALSE )</f>
        <v>0</v>
      </c>
      <c r="F20" s="8">
        <f>VLOOKUP(A20:A41, Dataset!A:V, 22,FALSE )</f>
        <v>0</v>
      </c>
    </row>
    <row r="21" spans="1:6" ht="14.5" x14ac:dyDescent="0.35">
      <c r="A21" s="7" t="s">
        <v>57</v>
      </c>
      <c r="B21" s="12">
        <f>VLOOKUP(A21:A42, Dataset!A:G, 7,FALSE )</f>
        <v>41.3</v>
      </c>
      <c r="C21" s="12">
        <f>VLOOKUP(A21:A42, Dataset!A:N, 14,FALSE )</f>
        <v>124.4</v>
      </c>
      <c r="D21" s="12">
        <f>VLOOKUP(A21:A42, Dataset!A:R, 18,FALSE )</f>
        <v>75</v>
      </c>
      <c r="E21" s="12">
        <f>VLOOKUP(A21:A42, Dataset!A:T, 20,FALSE )</f>
        <v>151.5</v>
      </c>
      <c r="F21" s="8">
        <f>VLOOKUP(A21:A42, Dataset!A:V, 22,FALSE )</f>
        <v>75</v>
      </c>
    </row>
    <row r="22" spans="1:6" ht="14.5" x14ac:dyDescent="0.35">
      <c r="A22" s="7" t="s">
        <v>58</v>
      </c>
      <c r="B22" s="12">
        <f>VLOOKUP(A22:A43, Dataset!A:G, 7,FALSE )</f>
        <v>-1</v>
      </c>
      <c r="C22" s="12">
        <f>VLOOKUP(A22:A43, Dataset!A:N, 14,FALSE )</f>
        <v>-1</v>
      </c>
      <c r="D22" s="12">
        <f>VLOOKUP(A22:A43, Dataset!A:R, 18,FALSE )</f>
        <v>-1</v>
      </c>
      <c r="E22" s="12">
        <f>VLOOKUP(A22:A43, Dataset!A:T, 20,FALSE )</f>
        <v>-1</v>
      </c>
      <c r="F22" s="8">
        <f>VLOOKUP(A22:A43, Dataset!A:V, 22,FALSE )</f>
        <v>-1</v>
      </c>
    </row>
    <row r="23" spans="1:6" ht="14.5" x14ac:dyDescent="0.35">
      <c r="A23" s="7" t="s">
        <v>31</v>
      </c>
      <c r="B23" s="12">
        <f>VLOOKUP(A23:A44, Dataset!A:G, 7,FALSE )</f>
        <v>45</v>
      </c>
      <c r="C23" s="12">
        <f>VLOOKUP(A23:A44, Dataset!A:N, 14,FALSE )</f>
        <v>133.4</v>
      </c>
      <c r="D23" s="12">
        <f>VLOOKUP(A23:A44, Dataset!A:R, 18,FALSE )</f>
        <v>79.400000000000006</v>
      </c>
      <c r="E23" s="12">
        <f>VLOOKUP(A23:A44, Dataset!A:T, 20,FALSE )</f>
        <v>160.9</v>
      </c>
      <c r="F23" s="8">
        <f>VLOOKUP(A23:A44, Dataset!A:V, 22,FALSE )</f>
        <v>79.400000000000006</v>
      </c>
    </row>
    <row r="24" spans="1:6" ht="14.5" x14ac:dyDescent="0.35">
      <c r="A24" s="7" t="s">
        <v>32</v>
      </c>
      <c r="B24" s="12">
        <f>VLOOKUP(A24:A45, Dataset!A:G, 7,FALSE )</f>
        <v>-1</v>
      </c>
      <c r="C24" s="12">
        <f>VLOOKUP(A24:A45, Dataset!A:N, 14,FALSE )</f>
        <v>-1</v>
      </c>
      <c r="D24" s="12">
        <f>VLOOKUP(A24:A45, Dataset!A:R, 18,FALSE )</f>
        <v>-1</v>
      </c>
      <c r="E24" s="12">
        <f>VLOOKUP(A24:A45, Dataset!A:T, 20,FALSE )</f>
        <v>-1</v>
      </c>
      <c r="F24" s="8">
        <f>VLOOKUP(A24:A45, Dataset!A:V, 22,FALSE )</f>
        <v>-1</v>
      </c>
    </row>
    <row r="25" spans="1:6" ht="14.5" x14ac:dyDescent="0.35">
      <c r="A25" s="7" t="s">
        <v>34</v>
      </c>
      <c r="B25" s="12">
        <f>VLOOKUP(A25:A46, Dataset!A:G, 7,FALSE )</f>
        <v>43.3</v>
      </c>
      <c r="C25" s="12">
        <f>VLOOKUP(A25:A46, Dataset!A:N, 14,FALSE )</f>
        <v>128.6</v>
      </c>
      <c r="D25" s="12">
        <f>VLOOKUP(A25:A46, Dataset!A:R, 18,FALSE )</f>
        <v>79.400000000000006</v>
      </c>
      <c r="E25" s="12">
        <f>VLOOKUP(A25:A46, Dataset!A:T, 20,FALSE )</f>
        <v>160.9</v>
      </c>
      <c r="F25" s="8">
        <f>VLOOKUP(A25:A46, Dataset!A:V, 22,FALSE )</f>
        <v>79.400000000000006</v>
      </c>
    </row>
    <row r="26" spans="1:6" ht="14.5" x14ac:dyDescent="0.35">
      <c r="A26" s="7" t="s">
        <v>37</v>
      </c>
      <c r="B26" s="12">
        <f>VLOOKUP(A26:A47, Dataset!A:G, 7,FALSE )</f>
        <v>49.1</v>
      </c>
      <c r="C26" s="12">
        <f>VLOOKUP(A26:A47, Dataset!A:N, 14,FALSE )</f>
        <v>146.80000000000001</v>
      </c>
      <c r="D26" s="12">
        <f>VLOOKUP(A26:A47, Dataset!A:R, 18,FALSE )</f>
        <v>90.9</v>
      </c>
      <c r="E26" s="12">
        <f>VLOOKUP(A26:A47, Dataset!A:T, 20,FALSE )</f>
        <v>183.5</v>
      </c>
      <c r="F26" s="8">
        <f>VLOOKUP(A26:A47, Dataset!A:V, 22,FALSE )</f>
        <v>90.9</v>
      </c>
    </row>
    <row r="27" spans="1:6" ht="14.5" x14ac:dyDescent="0.35">
      <c r="A27" s="7" t="s">
        <v>39</v>
      </c>
      <c r="B27" s="12">
        <f>VLOOKUP(A27:A48, Dataset!A:G, 7,FALSE )</f>
        <v>51.8</v>
      </c>
      <c r="C27" s="12">
        <f>VLOOKUP(A27:A48, Dataset!A:N, 14,FALSE )</f>
        <v>156.4</v>
      </c>
      <c r="D27" s="12">
        <f>VLOOKUP(A27:A48, Dataset!A:R, 18,FALSE )</f>
        <v>93.1</v>
      </c>
      <c r="E27" s="12">
        <f>VLOOKUP(A27:A48, Dataset!A:T, 20,FALSE )</f>
        <v>188.1</v>
      </c>
      <c r="F27" s="8">
        <f>VLOOKUP(A27:A48, Dataset!A:V, 22,FALSE )</f>
        <v>93.1</v>
      </c>
    </row>
    <row r="28" spans="1:6" ht="14.5" x14ac:dyDescent="0.35">
      <c r="A28" s="19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4.5" x14ac:dyDescent="0.35">
      <c r="A29" s="19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4.5" x14ac:dyDescent="0.35">
      <c r="A30" s="19" t="s">
        <v>84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tabSelected="1" zoomScale="85" zoomScaleNormal="85" workbookViewId="0">
      <selection activeCell="H9" sqref="H9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1" customFormat="1" ht="21" x14ac:dyDescent="0.5">
      <c r="A1" s="42" t="s">
        <v>56</v>
      </c>
      <c r="B1" s="41" t="s">
        <v>173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150</v>
      </c>
    </row>
    <row r="5" spans="1:10" ht="18.5" x14ac:dyDescent="0.45">
      <c r="A5" s="43" t="s">
        <v>53</v>
      </c>
      <c r="B5" s="40"/>
    </row>
    <row r="6" spans="1:10" ht="18.5" x14ac:dyDescent="0.45">
      <c r="A6" s="43" t="s">
        <v>152</v>
      </c>
      <c r="B6" s="40" t="s">
        <v>178</v>
      </c>
    </row>
    <row r="7" spans="1:10" ht="18.5" x14ac:dyDescent="0.45">
      <c r="A7" s="43"/>
      <c r="B7" s="40" t="s">
        <v>179</v>
      </c>
    </row>
    <row r="8" spans="1:10" ht="18.5" x14ac:dyDescent="0.45">
      <c r="B8" s="40" t="s">
        <v>180</v>
      </c>
    </row>
    <row r="9" spans="1:10" ht="23.5" x14ac:dyDescent="0.55000000000000004">
      <c r="A9" s="18" t="s">
        <v>164</v>
      </c>
      <c r="I9" s="2"/>
      <c r="J9" s="2"/>
    </row>
    <row r="10" spans="1:10" x14ac:dyDescent="0.35">
      <c r="A10" s="33" t="s">
        <v>101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5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5" x14ac:dyDescent="0.55000000000000004">
      <c r="A14" s="18" t="s">
        <v>161</v>
      </c>
    </row>
    <row r="15" spans="1:10" x14ac:dyDescent="0.35">
      <c r="A15" s="14" t="s">
        <v>102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5">
      <c r="A16" s="7" t="s">
        <v>120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5">
      <c r="A17" s="7" t="s">
        <v>121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5">
      <c r="A18" s="7" t="s">
        <v>122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5">
      <c r="A19" s="7" t="s">
        <v>123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5">
      <c r="A20" s="7" t="s">
        <v>124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5">
      <c r="A21" s="7" t="s">
        <v>125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5">
      <c r="A22" s="7" t="s">
        <v>126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5">
      <c r="A23" s="7" t="s">
        <v>127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5">
      <c r="A24" s="7" t="s">
        <v>128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5">
      <c r="A25" s="7" t="s">
        <v>129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5">
      <c r="A26" s="7" t="s">
        <v>130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5">
      <c r="A27" s="7" t="s">
        <v>131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5">
      <c r="A28" s="7" t="s">
        <v>132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5">
      <c r="A29" s="7" t="s">
        <v>133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5">
      <c r="A30" s="7" t="s">
        <v>134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5">
      <c r="A31" s="7" t="s">
        <v>135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5">
      <c r="A32" s="7" t="s">
        <v>136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5">
      <c r="A33" s="7" t="s">
        <v>137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5">
      <c r="A34" s="7" t="s">
        <v>138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5">
      <c r="A35" s="7" t="s">
        <v>139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5">
      <c r="A36" s="7" t="s">
        <v>140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5">
      <c r="A37" s="7" t="s">
        <v>141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5">
      <c r="A38" s="7" t="s">
        <v>142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5">
      <c r="A39" s="7" t="s">
        <v>143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5">
      <c r="A40" s="7" t="s">
        <v>144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5">
      <c r="A41" s="7" t="s">
        <v>145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5">
      <c r="A42" s="7" t="s">
        <v>146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5">
      <c r="A43" s="7" t="s">
        <v>147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5">
      <c r="A44" s="7" t="s">
        <v>148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5">
      <c r="A45" s="7" t="s">
        <v>149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5">
      <c r="A46" s="7" t="s">
        <v>111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5">
      <c r="A47" s="7" t="s">
        <v>112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5">
      <c r="A48" s="7" t="s">
        <v>113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5">
      <c r="A49" s="7" t="s">
        <v>114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5">
      <c r="A50" s="7" t="s">
        <v>115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5">
      <c r="A51" s="7" t="s">
        <v>116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5">
      <c r="A52" s="7" t="s">
        <v>117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5">
      <c r="A53" s="7" t="s">
        <v>118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5">
      <c r="A54" s="9" t="s">
        <v>119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topLeftCell="A4" zoomScaleNormal="100" workbookViewId="0">
      <selection activeCell="C23" sqref="C23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2" t="s">
        <v>85</v>
      </c>
      <c r="B1" s="41" t="s">
        <v>166</v>
      </c>
    </row>
    <row r="2" spans="1:3" ht="18.5" x14ac:dyDescent="0.45">
      <c r="B2" s="40" t="s">
        <v>165</v>
      </c>
    </row>
    <row r="5" spans="1:3" ht="14.5" x14ac:dyDescent="0.35">
      <c r="B5" s="1" t="s">
        <v>150</v>
      </c>
    </row>
    <row r="6" spans="1:3" ht="14.5" x14ac:dyDescent="0.35">
      <c r="A6" s="3" t="s">
        <v>53</v>
      </c>
      <c r="B6" s="48"/>
    </row>
    <row r="7" spans="1:3" ht="14.5" x14ac:dyDescent="0.35">
      <c r="A7" s="3" t="s">
        <v>152</v>
      </c>
      <c r="B7" s="1" t="s">
        <v>177</v>
      </c>
    </row>
    <row r="10" spans="1:3" ht="23.5" x14ac:dyDescent="0.55000000000000004">
      <c r="A10" s="18" t="s">
        <v>161</v>
      </c>
    </row>
    <row r="11" spans="1:3" ht="14.5" x14ac:dyDescent="0.35">
      <c r="A11" s="32" t="s">
        <v>86</v>
      </c>
      <c r="B11" s="17" t="s">
        <v>176</v>
      </c>
      <c r="C11" s="17" t="s">
        <v>87</v>
      </c>
    </row>
    <row r="12" spans="1:3" ht="14.5" x14ac:dyDescent="0.35">
      <c r="A12" s="32">
        <v>44927</v>
      </c>
      <c r="B12" s="17" t="s">
        <v>59</v>
      </c>
      <c r="C12" s="17">
        <v>200</v>
      </c>
    </row>
    <row r="13" spans="1:3" ht="14.5" x14ac:dyDescent="0.35">
      <c r="A13" s="32">
        <v>44928</v>
      </c>
      <c r="B13" s="17" t="s">
        <v>60</v>
      </c>
      <c r="C13" s="17">
        <v>20</v>
      </c>
    </row>
    <row r="14" spans="1:3" ht="14.5" x14ac:dyDescent="0.35">
      <c r="A14" s="32">
        <v>44929</v>
      </c>
      <c r="B14" s="17" t="s">
        <v>61</v>
      </c>
      <c r="C14" s="17">
        <v>50</v>
      </c>
    </row>
    <row r="15" spans="1:3" ht="14.5" x14ac:dyDescent="0.35">
      <c r="A15" s="32">
        <v>44930</v>
      </c>
      <c r="B15" s="17" t="s">
        <v>62</v>
      </c>
      <c r="C15" s="17">
        <v>20</v>
      </c>
    </row>
    <row r="16" spans="1:3" ht="14.5" x14ac:dyDescent="0.35">
      <c r="A16" s="32">
        <v>44931</v>
      </c>
      <c r="B16" s="17" t="s">
        <v>63</v>
      </c>
      <c r="C16" s="17">
        <v>10</v>
      </c>
    </row>
    <row r="17" spans="1:3" ht="14.5" x14ac:dyDescent="0.35">
      <c r="A17" s="32">
        <v>44932</v>
      </c>
      <c r="B17" s="17" t="s">
        <v>153</v>
      </c>
      <c r="C17" s="17">
        <v>150</v>
      </c>
    </row>
    <row r="18" spans="1:3" ht="14.5" x14ac:dyDescent="0.35">
      <c r="A18" s="32">
        <v>44933</v>
      </c>
      <c r="B18" s="17" t="s">
        <v>154</v>
      </c>
      <c r="C18" s="17">
        <v>80</v>
      </c>
    </row>
    <row r="19" spans="1:3" ht="14.5" x14ac:dyDescent="0.35">
      <c r="A19" s="32">
        <v>44934</v>
      </c>
      <c r="B19" s="17" t="s">
        <v>155</v>
      </c>
      <c r="C19" s="17">
        <v>20</v>
      </c>
    </row>
    <row r="20" spans="1:3" ht="14.5" x14ac:dyDescent="0.35">
      <c r="A20" s="32">
        <v>44935</v>
      </c>
      <c r="B20" s="17" t="s">
        <v>156</v>
      </c>
      <c r="C20" s="17">
        <v>30</v>
      </c>
    </row>
    <row r="21" spans="1:3" ht="14.5" x14ac:dyDescent="0.35">
      <c r="A21" s="32">
        <v>44936</v>
      </c>
      <c r="B21" s="17" t="s">
        <v>157</v>
      </c>
      <c r="C21" s="17">
        <v>20</v>
      </c>
    </row>
    <row r="22" spans="1:3" ht="14.5" x14ac:dyDescent="0.35">
      <c r="B22" s="17" t="s">
        <v>158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opLeftCell="A7" zoomScale="85" zoomScaleNormal="85" workbookViewId="0">
      <selection activeCell="C24" sqref="C24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2" t="s">
        <v>97</v>
      </c>
      <c r="B1" s="41" t="s">
        <v>174</v>
      </c>
    </row>
    <row r="3" spans="1:14" ht="14.5" x14ac:dyDescent="0.35">
      <c r="B3" s="1" t="s">
        <v>150</v>
      </c>
    </row>
    <row r="4" spans="1:14" ht="18.5" x14ac:dyDescent="0.45">
      <c r="A4" s="43" t="s">
        <v>53</v>
      </c>
      <c r="B4" s="1"/>
    </row>
    <row r="5" spans="1:14" ht="18.5" x14ac:dyDescent="0.45">
      <c r="A5" s="43" t="s">
        <v>152</v>
      </c>
      <c r="B5" s="1"/>
    </row>
    <row r="6" spans="1:14" ht="14.5" x14ac:dyDescent="0.35">
      <c r="A6" s="3"/>
      <c r="B6" s="1"/>
    </row>
    <row r="8" spans="1:14" ht="23.5" x14ac:dyDescent="0.55000000000000004">
      <c r="A8" s="18" t="s">
        <v>161</v>
      </c>
      <c r="M8" s="18" t="s">
        <v>162</v>
      </c>
    </row>
    <row r="9" spans="1:14" ht="14.5" x14ac:dyDescent="0.35">
      <c r="A9" s="26"/>
      <c r="B9" s="26" t="s">
        <v>88</v>
      </c>
      <c r="C9" s="26" t="s">
        <v>89</v>
      </c>
      <c r="D9" s="26" t="s">
        <v>90</v>
      </c>
      <c r="E9" s="26" t="s">
        <v>91</v>
      </c>
      <c r="F9" s="26" t="s">
        <v>92</v>
      </c>
      <c r="G9" s="26" t="s">
        <v>93</v>
      </c>
      <c r="H9" s="26" t="s">
        <v>94</v>
      </c>
      <c r="I9" s="26" t="s">
        <v>95</v>
      </c>
      <c r="J9" s="26" t="s">
        <v>96</v>
      </c>
      <c r="M9" s="19" t="s">
        <v>43</v>
      </c>
      <c r="N9" s="19" t="s">
        <v>98</v>
      </c>
    </row>
    <row r="10" spans="1:14" ht="14.5" x14ac:dyDescent="0.35">
      <c r="A10" s="26" t="s">
        <v>88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88</v>
      </c>
    </row>
    <row r="11" spans="1:14" ht="14.5" x14ac:dyDescent="0.35">
      <c r="A11" s="26" t="s">
        <v>89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89</v>
      </c>
    </row>
    <row r="12" spans="1:14" ht="14.5" x14ac:dyDescent="0.35">
      <c r="A12" s="26" t="s">
        <v>90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90</v>
      </c>
    </row>
    <row r="13" spans="1:14" ht="14.5" x14ac:dyDescent="0.35">
      <c r="A13" s="26" t="s">
        <v>91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91</v>
      </c>
    </row>
    <row r="14" spans="1:14" ht="14.5" x14ac:dyDescent="0.35">
      <c r="A14" s="26" t="s">
        <v>92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92</v>
      </c>
    </row>
    <row r="15" spans="1:14" ht="14.5" x14ac:dyDescent="0.35">
      <c r="A15" s="26" t="s">
        <v>93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93</v>
      </c>
    </row>
    <row r="16" spans="1:14" ht="14.5" x14ac:dyDescent="0.35">
      <c r="A16" s="26" t="s">
        <v>94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94</v>
      </c>
    </row>
    <row r="17" spans="1:14" ht="14.5" x14ac:dyDescent="0.35">
      <c r="A17" s="26" t="s">
        <v>95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95</v>
      </c>
    </row>
    <row r="18" spans="1:14" ht="14.5" x14ac:dyDescent="0.35">
      <c r="A18" s="26" t="s">
        <v>96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96</v>
      </c>
    </row>
    <row r="21" spans="1:14" ht="23.5" x14ac:dyDescent="0.55000000000000004">
      <c r="A21" s="18" t="s">
        <v>167</v>
      </c>
    </row>
    <row r="22" spans="1:14" ht="14.5" x14ac:dyDescent="0.35">
      <c r="A22" s="14" t="s">
        <v>99</v>
      </c>
      <c r="B22" s="17" t="s">
        <v>100</v>
      </c>
      <c r="C22" s="16" t="s">
        <v>101</v>
      </c>
    </row>
    <row r="23" spans="1:14" ht="14.5" x14ac:dyDescent="0.35">
      <c r="A23" s="7">
        <v>10100</v>
      </c>
      <c r="B23" s="12">
        <v>10102</v>
      </c>
      <c r="C23" s="44"/>
    </row>
    <row r="24" spans="1:14" ht="14.5" x14ac:dyDescent="0.35">
      <c r="A24" s="7">
        <v>10100</v>
      </c>
      <c r="B24" s="12">
        <v>10104</v>
      </c>
      <c r="C24" s="44"/>
    </row>
    <row r="25" spans="1:14" ht="14.5" x14ac:dyDescent="0.35">
      <c r="A25" s="7">
        <v>10108</v>
      </c>
      <c r="B25" s="12">
        <v>10102</v>
      </c>
      <c r="C25" s="44"/>
    </row>
    <row r="26" spans="1:14" ht="14.5" x14ac:dyDescent="0.35">
      <c r="A26" s="7">
        <v>10100</v>
      </c>
      <c r="B26" s="12">
        <v>10106</v>
      </c>
      <c r="C26" s="44"/>
    </row>
    <row r="27" spans="1:14" ht="14.5" x14ac:dyDescent="0.35">
      <c r="A27" s="7">
        <v>10108</v>
      </c>
      <c r="B27" s="12">
        <v>10110</v>
      </c>
      <c r="C27" s="44"/>
    </row>
    <row r="28" spans="1:14" ht="14.5" x14ac:dyDescent="0.35">
      <c r="A28" s="7">
        <v>10102</v>
      </c>
      <c r="B28" s="12">
        <v>10104</v>
      </c>
      <c r="C28" s="44"/>
    </row>
    <row r="29" spans="1:14" ht="14.5" x14ac:dyDescent="0.35">
      <c r="A29" s="7">
        <v>10106</v>
      </c>
      <c r="B29" s="12">
        <v>10108</v>
      </c>
      <c r="C29" s="44"/>
    </row>
    <row r="30" spans="1:14" ht="14.5" x14ac:dyDescent="0.35">
      <c r="A30" s="7">
        <v>10102</v>
      </c>
      <c r="B30" s="12">
        <v>10106</v>
      </c>
      <c r="C30" s="44"/>
    </row>
    <row r="31" spans="1:14" ht="14.5" x14ac:dyDescent="0.35">
      <c r="A31" s="7">
        <v>10110</v>
      </c>
      <c r="B31" s="12">
        <v>10114</v>
      </c>
      <c r="C31" s="44"/>
    </row>
    <row r="32" spans="1:14" ht="14.5" x14ac:dyDescent="0.35">
      <c r="A32" s="7">
        <v>10104</v>
      </c>
      <c r="B32" s="12">
        <v>10106</v>
      </c>
      <c r="C32" s="44"/>
    </row>
    <row r="33" spans="1:3" ht="14.5" x14ac:dyDescent="0.35">
      <c r="A33" s="7">
        <v>10110</v>
      </c>
      <c r="B33" s="12">
        <v>10112</v>
      </c>
      <c r="C33" s="44"/>
    </row>
    <row r="34" spans="1:3" ht="14.5" x14ac:dyDescent="0.35">
      <c r="A34" s="7">
        <v>10100</v>
      </c>
      <c r="B34" s="12">
        <v>10114</v>
      </c>
      <c r="C34" s="44"/>
    </row>
    <row r="35" spans="1:3" ht="14.5" x14ac:dyDescent="0.35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Nitin Satle</cp:lastModifiedBy>
  <dcterms:created xsi:type="dcterms:W3CDTF">2015-02-10T17:33:11Z</dcterms:created>
  <dcterms:modified xsi:type="dcterms:W3CDTF">2023-12-10T17:27:27Z</dcterms:modified>
</cp:coreProperties>
</file>